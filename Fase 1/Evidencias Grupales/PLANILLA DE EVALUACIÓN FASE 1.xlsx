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F:\duoc\SM2-2026\Capstone-PTY4614-001V\Grupos\Grupo 5 Miercoles (Agua) Cifuentes Gaete Olivares\Fase 1\Evidencias Grupales\"/>
    </mc:Choice>
  </mc:AlternateContent>
  <xr:revisionPtr revIDLastSave="0" documentId="13_ncr:1_{D1F5A91F-8E85-49AD-AB5F-F633DD67EB38}"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0"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E19" i="1"/>
  <c r="F19" i="1"/>
  <c r="G19" i="1" s="1"/>
  <c r="H19" i="1"/>
  <c r="I19" i="1" s="1"/>
  <c r="J19" i="1"/>
  <c r="K19" i="1" s="1"/>
  <c r="E17" i="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F20" i="1"/>
  <c r="G20" i="1" s="1"/>
  <c r="F21" i="1"/>
  <c r="G21" i="1" s="1"/>
  <c r="C57" i="1" l="1"/>
  <c r="D6" i="1" s="1"/>
  <c r="C46" i="1"/>
  <c r="D5" i="1" s="1"/>
  <c r="E21" i="1"/>
  <c r="H21" i="1"/>
  <c r="I21" i="1" s="1"/>
  <c r="J21" i="1"/>
  <c r="K21" i="1" s="1"/>
  <c r="F22" i="1"/>
  <c r="G22" i="1" s="1"/>
  <c r="H22" i="1"/>
  <c r="I22" i="1" s="1"/>
  <c r="J22" i="1"/>
  <c r="K22" i="1" s="1"/>
  <c r="C27" i="1"/>
  <c r="J20" i="1"/>
  <c r="K20" i="1" s="1"/>
  <c r="H20" i="1"/>
  <c r="I20" i="1" s="1"/>
  <c r="E20" i="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<sst xmlns="http://schemas.openxmlformats.org/spreadsheetml/2006/main" count="167" uniqueCount="99">
  <si>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</si>
  <si>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</si>
  <si>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</si>
  <si>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</si>
  <si>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</si>
  <si>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</si>
  <si>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</si>
  <si>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</si>
  <si>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</si>
  <si>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</si>
  <si>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</si>
  <si>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</si>
  <si>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</si>
  <si>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</si>
  <si>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</si>
  <si>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</si>
  <si>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</si>
  <si>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</si>
  <si>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</si>
  <si>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</si>
  <si>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</si>
  <si>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</si>
  <si>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</si>
  <si>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</si>
  <si>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</si>
  <si>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</si>
  <si>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</si>
  <si>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</si>
  <si>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</si>
  <si>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</si>
  <si>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</si>
  <si>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</si>
  <si>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</si>
  <si>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</si>
  <si>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</si>
  <si>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</si>
  <si>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</si>
  <si>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</si>
  <si>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</si>
  <si>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</si>
  <si>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</si>
  <si>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</si>
  <si>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</si>
  <si>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</si>
  <si>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</si>
  <si>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</si>
  <si>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</si>
  <si>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</si>
  <si>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</si>
  <si>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</si>
  <si>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</si>
  <si>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</si>
  <si>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</si>
  <si>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</si>
  <si>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</si>
  <si>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</si>
  <si>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</si>
  <si>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</si>
  <si>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</si>
  <si>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</si>
  <si>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</si>
  <si>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</si>
  <si>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</si>
  <si>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</si>
  <si>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</si>
  <si>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</si>
  <si>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</si>
  <si>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</si>
  <si>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</si>
  <si>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</si>
  <si>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</si>
  <si>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</si>
  <si>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</si>
  <si>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</si>
  <si>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</si>
  <si>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</si>
  <si>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</si>
  <si>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</si>
  <si>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</si>
  <si>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</si>
  <si>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</si>
  <si>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</si>
  <si>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</si>
  <si>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</si>
  <si>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</si>
  <si>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</si>
  <si>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</si>
  <si>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</si>
  <si>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</si>
  <si>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</si>
  <si>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</si>
  <si>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</si>
  <si>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</si>
  <si>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</si>
  <si>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</si>
  <si>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Julio Cifuentes Gallardo</t>
  </si>
  <si>
    <t>Felipe Gaete Troncoso</t>
  </si>
  <si>
    <t>Ariel Olivares Vargas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</si>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</sst>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FF00"/>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BFBFBF"/>
      </left>
      <right style="medium">
        <color rgb="FFBFBFBF"/>
      </right>
      <top/>
      <bottom style="medium">
        <color rgb="FFBFBFBF"/>
      </bottom>
      <diagonal/>
    </border>
  </borders>
  <cellStyleXfs count="1">
    <xf numFmtId="0" fontId="0" fillId="0" borderId="0"/>
  </cellStyleXfs>
  <cellXfs count="8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3" fillId="0" borderId="33" xfId="0" applyFont="1" applyBorder="1" applyAlignment="1">
      <alignment vertical="center" wrapText="1"/>
    </xf>
    <xf numFmtId="0" fontId="13" fillId="0" borderId="0" xfId="0" applyFont="1" applyBorder="1" applyAlignment="1">
      <alignment vertical="center" wrapText="1"/>
    </xf>
    <xf numFmtId="0" fontId="0" fillId="0" borderId="0" xfId="0" applyBorder="1"/>
    <xf numFmtId="0" fontId="6" fillId="9" borderId="31" xfId="0" applyFont="1" applyFill="1" applyBorder="1" applyAlignment="1">
      <alignment horizontal="lef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4" zoomScale="120" zoomScaleNormal="120" workbookViewId="0">
      <selection activeCell="B20" sqref="B2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c r="G2" s="80"/>
    </row>
    <row r="3" spans="1:11" x14ac:dyDescent="0.25">
      <c r="B3" s="3" t="s">
        <v>0</v>
      </c>
      <c r="C3" s="4" t="s">
        <v>1</v>
      </c>
      <c r="D3" s="2" t="s">
        <v>2</v>
      </c>
      <c r="E3" s="50"/>
      <c r="G3" s="80"/>
    </row>
    <row r="4" spans="1:11" x14ac:dyDescent="0.25">
      <c r="A4" s="5">
        <v>1</v>
      </c>
      <c r="B4" s="32" t="s">
        <v>95</v>
      </c>
      <c r="C4" s="6">
        <f>EVALUACION1!$C$24</f>
        <v>7</v>
      </c>
      <c r="D4" s="6">
        <f>$C$35</f>
        <v>7</v>
      </c>
      <c r="E4" s="43">
        <f>C4*C$2+D4*D$2</f>
        <v>7</v>
      </c>
      <c r="G4" s="80"/>
    </row>
    <row r="5" spans="1:11" x14ac:dyDescent="0.25">
      <c r="A5" s="5">
        <v>2</v>
      </c>
      <c r="B5" s="32" t="s">
        <v>96</v>
      </c>
      <c r="C5" s="6">
        <f>EVALUACION1!$C$24</f>
        <v>7</v>
      </c>
      <c r="D5" s="6">
        <f>C47</f>
        <v>7</v>
      </c>
      <c r="E5" s="43">
        <f t="shared" ref="E5:E6" si="0">C5*C$2+D5*D$2</f>
        <v>7</v>
      </c>
      <c r="G5" s="80"/>
    </row>
    <row r="6" spans="1:11" ht="15.75" thickBot="1" x14ac:dyDescent="0.3">
      <c r="A6" s="5">
        <v>3</v>
      </c>
      <c r="B6" s="79" t="s">
        <v>97</v>
      </c>
      <c r="C6" s="6">
        <f>EVALUACION1!$C$24</f>
        <v>7</v>
      </c>
      <c r="D6" s="6">
        <f>C58</f>
        <v>7</v>
      </c>
      <c r="E6" s="43">
        <f t="shared" si="0"/>
        <v>7</v>
      </c>
      <c r="G6" s="81"/>
    </row>
    <row r="7" spans="1:11" ht="15" customHeight="1" x14ac:dyDescent="0.25">
      <c r="G7" s="80"/>
    </row>
    <row r="8" spans="1:11" ht="15" customHeight="1" x14ac:dyDescent="0.25">
      <c r="G8" s="8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
        <v>98</v>
      </c>
      <c r="E13" s="16">
        <f>IF(D13="X",100*0.1,"")</f>
        <v>10</v>
      </c>
      <c r="F13" s="16" t="str">
        <f t="shared" ref="F13:F16" si="1">IF($C13=L,"X","")</f>
        <v/>
      </c>
      <c r="G13" s="16" t="str">
        <f>IF(F13="X",60*0.1,"")</f>
        <v/>
      </c>
      <c r="H13" s="16" t="str">
        <f t="shared" ref="H13:H16" si="2">IF($C13=ML,"X","")</f>
        <v/>
      </c>
      <c r="I13" s="16" t="str">
        <f>IF(H13="X",30*0.1,"")</f>
        <v/>
      </c>
      <c r="J13" s="16" t="str">
        <f t="shared" ref="J13:J16" si="3">IF($C13=NL,"X","")</f>
        <v/>
      </c>
      <c r="K13" s="16" t="str">
        <f t="shared" ref="K13:K16" si="4">IF($J13="X",0,"")</f>
        <v/>
      </c>
    </row>
    <row r="14" spans="1:11" ht="26.45" customHeight="1" outlineLevel="1" x14ac:dyDescent="0.25">
      <c r="A14" s="65"/>
      <c r="B14" s="35" t="str">
        <f>RUBRICA!A6</f>
        <v>2. Relaciona el Proyecto APT con las competencias del perfil de egreso de su Plan de Estudio.</v>
      </c>
      <c r="C14" s="33" t="s">
        <v>7</v>
      </c>
      <c r="D14" s="16" t="s">
        <v>98</v>
      </c>
      <c r="E14" s="16">
        <f t="shared" ref="E14" si="5">IF(D14="X",100*0.05,"")</f>
        <v>5</v>
      </c>
      <c r="F14" s="16" t="str">
        <f t="shared" si="1"/>
        <v/>
      </c>
      <c r="G14" s="16" t="str">
        <f t="shared" ref="G14" si="6">IF(F14="X",60*0.05,"")</f>
        <v/>
      </c>
      <c r="H14" s="16" t="str">
        <f t="shared" si="2"/>
        <v/>
      </c>
      <c r="I14" s="16" t="str">
        <f t="shared" ref="I14" si="7">IF(H14="X",30*0.05,"")</f>
        <v/>
      </c>
      <c r="J14" s="16" t="str">
        <f t="shared" si="3"/>
        <v/>
      </c>
      <c r="K14" s="16" t="str">
        <f t="shared" si="4"/>
        <v/>
      </c>
    </row>
    <row r="15" spans="1:11" ht="24" outlineLevel="1" x14ac:dyDescent="0.25">
      <c r="A15" s="65"/>
      <c r="B15" s="35" t="str">
        <f>RUBRICA!A8</f>
        <v xml:space="preserve">4.  Argumenta por qué el proyecto es factible de realizarse en el marco de la asignatura. </v>
      </c>
      <c r="C15" s="33" t="s">
        <v>7</v>
      </c>
      <c r="D15" s="16" t="s">
        <v>98</v>
      </c>
      <c r="E15" s="16">
        <f t="shared" ref="E15:E21" si="8">IF(D15="X",100*0.05,"")</f>
        <v>5</v>
      </c>
      <c r="F15" s="16" t="str">
        <f t="shared" si="1"/>
        <v/>
      </c>
      <c r="G15" s="16" t="str">
        <f t="shared" ref="G15:G21" si="9">IF(F15="X",60*0.05,"")</f>
        <v/>
      </c>
      <c r="H15" s="16" t="str">
        <f t="shared" si="2"/>
        <v/>
      </c>
      <c r="I15" s="16" t="str">
        <f t="shared" ref="I15:I21" si="10">IF(H15="X",30*0.05,"")</f>
        <v/>
      </c>
      <c r="J15" s="16" t="str">
        <f t="shared" si="3"/>
        <v/>
      </c>
      <c r="K15" s="16" t="str">
        <f t="shared" si="4"/>
        <v/>
      </c>
    </row>
    <row r="16" spans="1:11" ht="24" outlineLevel="1" x14ac:dyDescent="0.25">
      <c r="A16" s="65"/>
      <c r="B16" s="35" t="str">
        <f>RUBRICA!A9</f>
        <v xml:space="preserve">5. Formula objetivos claros, concisos y coherentes con la disciplina y la situación a abordar. </v>
      </c>
      <c r="C16" s="33" t="s">
        <v>7</v>
      </c>
      <c r="D16" s="16" t="s">
        <v>98</v>
      </c>
      <c r="E16" s="16">
        <f>IF(D16="X",100*0.05,"")</f>
        <v>5</v>
      </c>
      <c r="F16" s="16" t="str">
        <f t="shared" si="1"/>
        <v/>
      </c>
      <c r="G16" s="16" t="str">
        <f>IF(F16="X",60*0.05,"")</f>
        <v/>
      </c>
      <c r="H16" s="16" t="str">
        <f t="shared" si="2"/>
        <v/>
      </c>
      <c r="I16" s="16" t="str">
        <f>IF(H16="X",30*0.05,"")</f>
        <v/>
      </c>
      <c r="J16" s="16" t="str">
        <f t="shared" si="3"/>
        <v/>
      </c>
      <c r="K16" s="16" t="str">
        <f t="shared" si="4"/>
        <v/>
      </c>
    </row>
    <row r="17" spans="1:11" ht="24" outlineLevel="1" x14ac:dyDescent="0.25">
      <c r="A17" s="65"/>
      <c r="B17" s="35" t="str">
        <f>RUBRICA!A10</f>
        <v>6. Propone una metodología de trabajo que permite alcanzar los objetivos propuestos y es pertinente con los requerimientos disciplinares.</v>
      </c>
      <c r="C17" s="33" t="s">
        <v>7</v>
      </c>
      <c r="D17" s="16" t="s">
        <v>98</v>
      </c>
      <c r="E17" s="16">
        <f t="shared" ref="E17" si="11">IF(D17="X",100*0.1,"")</f>
        <v>10</v>
      </c>
      <c r="F17" s="16" t="str">
        <f t="shared" ref="F17:F22" si="12">IF($C17=L,"X","")</f>
        <v/>
      </c>
      <c r="G17" s="16" t="str">
        <f t="shared" ref="G17" si="13">IF(F17="X",60*0.1,"")</f>
        <v/>
      </c>
      <c r="H17" s="16" t="str">
        <f t="shared" ref="H17:H22" si="14">IF($C17=ML,"X","")</f>
        <v/>
      </c>
      <c r="I17" s="16" t="str">
        <f t="shared" ref="I17" si="15">IF(H17="X",30*0.1,"")</f>
        <v/>
      </c>
      <c r="J17" s="16" t="str">
        <f t="shared" ref="J17:J22" si="16">IF($C17=NL,"X","")</f>
        <v/>
      </c>
      <c r="K17" s="16" t="str">
        <f t="shared" ref="K17:K22" si="17">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
        <v>98</v>
      </c>
      <c r="E18" s="16">
        <f t="shared" ref="E18" si="18">IF(D18="X",100*0.1,"")</f>
        <v>10</v>
      </c>
      <c r="F18" s="16" t="str">
        <f t="shared" si="12"/>
        <v/>
      </c>
      <c r="G18" s="16" t="str">
        <f t="shared" ref="G18" si="19">IF(F18="X",60*0.1,"")</f>
        <v/>
      </c>
      <c r="H18" s="16" t="str">
        <f t="shared" si="14"/>
        <v/>
      </c>
      <c r="I18" s="16" t="str">
        <f t="shared" ref="I18" si="20">IF(H18="X",30*0.1,"")</f>
        <v/>
      </c>
      <c r="J18" s="16" t="str">
        <f t="shared" si="16"/>
        <v/>
      </c>
      <c r="K18" s="16" t="str">
        <f t="shared" si="17"/>
        <v/>
      </c>
    </row>
    <row r="19" spans="1:11" ht="24" outlineLevel="1" x14ac:dyDescent="0.25">
      <c r="A19" s="65"/>
      <c r="B19" s="35" t="str">
        <f>RUBRICA!A12</f>
        <v>8. Determina evidencias, justificando cómo estas dan cuenta del logro de las actividades del Proyecto APT.</v>
      </c>
      <c r="C19" s="33" t="s">
        <v>7</v>
      </c>
      <c r="D19" s="16" t="s">
        <v>98</v>
      </c>
      <c r="E19" s="16">
        <f>IF(D19="X",100*0.05,"")</f>
        <v>5</v>
      </c>
      <c r="F19" s="16" t="str">
        <f t="shared" si="12"/>
        <v/>
      </c>
      <c r="G19" s="16" t="str">
        <f t="shared" ref="G19" si="21">IF(F19="X",60*0.05,"")</f>
        <v/>
      </c>
      <c r="H19" s="16" t="str">
        <f t="shared" si="14"/>
        <v/>
      </c>
      <c r="I19" s="16" t="str">
        <f t="shared" ref="I19" si="22">IF(H19="X",30*0.05,"")</f>
        <v/>
      </c>
      <c r="J19" s="16" t="str">
        <f t="shared" si="16"/>
        <v/>
      </c>
      <c r="K19" s="16" t="str">
        <f t="shared" si="17"/>
        <v/>
      </c>
    </row>
    <row r="20" spans="1:11" ht="24" outlineLevel="1" x14ac:dyDescent="0.25">
      <c r="A20" s="65"/>
      <c r="B20" s="82" t="str">
        <f>RUBRICA!A13</f>
        <v xml:space="preserve">9. Utiliza reglas de redacción, ortografía (literal, puntual, acentual) y las normas para citas y referencias. </v>
      </c>
      <c r="C20" s="33" t="s">
        <v>7</v>
      </c>
      <c r="D20" s="16" t="s">
        <v>98</v>
      </c>
      <c r="E20" s="16">
        <f>IF(D20="X",100*0.05,"")</f>
        <v>5</v>
      </c>
      <c r="F20" s="16" t="str">
        <f t="shared" si="12"/>
        <v/>
      </c>
      <c r="G20" s="16" t="str">
        <f t="shared" si="9"/>
        <v/>
      </c>
      <c r="H20" s="16" t="str">
        <f t="shared" si="14"/>
        <v/>
      </c>
      <c r="I20" s="16" t="str">
        <f t="shared" si="10"/>
        <v/>
      </c>
      <c r="J20" s="16" t="str">
        <f t="shared" si="16"/>
        <v/>
      </c>
      <c r="K20" s="16" t="str">
        <f t="shared" si="17"/>
        <v/>
      </c>
    </row>
    <row r="21" spans="1:11" ht="22.9" customHeight="1" outlineLevel="1" x14ac:dyDescent="0.25">
      <c r="A21" s="65"/>
      <c r="B21" s="35" t="str">
        <f>RUBRICA!A14</f>
        <v>10. Cumple completando el contenido del informe de presentación del proyecto de acuerdo con la plantilla entregada.</v>
      </c>
      <c r="C21" s="33" t="s">
        <v>7</v>
      </c>
      <c r="D21" s="16" t="s">
        <v>98</v>
      </c>
      <c r="E21" s="16">
        <f t="shared" si="8"/>
        <v>5</v>
      </c>
      <c r="F21" s="16" t="str">
        <f t="shared" si="12"/>
        <v/>
      </c>
      <c r="G21" s="16" t="str">
        <f t="shared" si="9"/>
        <v/>
      </c>
      <c r="H21" s="16" t="str">
        <f t="shared" si="14"/>
        <v/>
      </c>
      <c r="I21" s="16" t="str">
        <f t="shared" si="10"/>
        <v/>
      </c>
      <c r="J21" s="16" t="str">
        <f t="shared" si="16"/>
        <v/>
      </c>
      <c r="K21" s="16" t="str">
        <f t="shared" si="17"/>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
        <v>98</v>
      </c>
      <c r="E22" s="16">
        <f>IF(D22="X",100*0.1,"")</f>
        <v>10</v>
      </c>
      <c r="F22" s="16" t="str">
        <f t="shared" si="12"/>
        <v/>
      </c>
      <c r="G22" s="16" t="str">
        <f>IF(F22="X",60*0.1,"")</f>
        <v/>
      </c>
      <c r="H22" s="16" t="str">
        <f t="shared" si="14"/>
        <v/>
      </c>
      <c r="I22" s="16" t="str">
        <f>IF(H22="X",30*0.1,"")</f>
        <v/>
      </c>
      <c r="J22" s="16" t="str">
        <f t="shared" si="16"/>
        <v/>
      </c>
      <c r="K22" s="16" t="str">
        <f t="shared" si="17"/>
        <v/>
      </c>
    </row>
    <row r="23" spans="1:11" ht="15.75" customHeight="1" outlineLevel="1" x14ac:dyDescent="0.3">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1" t="s">
        <v>13</v>
      </c>
      <c r="B27" s="49" t="s">
        <v>14</v>
      </c>
      <c r="C27" s="51" t="str">
        <f>$B$4</f>
        <v>Julio Cifuentes Gallardo</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3">IF($C31=CL,"X","")</f>
        <v>X</v>
      </c>
      <c r="E31" s="16">
        <f>IF(D31="X",100*0.1,"")</f>
        <v>10</v>
      </c>
      <c r="F31" s="16" t="str">
        <f t="shared" ref="F31:F32" si="24">IF($C31=L,"X","")</f>
        <v/>
      </c>
      <c r="G31" s="16" t="str">
        <f>IF(F31="X",60*0.1,"")</f>
        <v/>
      </c>
      <c r="H31" s="16" t="str">
        <f t="shared" ref="H31:H32" si="25">IF($C31=ML,"X","")</f>
        <v/>
      </c>
      <c r="I31" s="16" t="str">
        <f>IF(H31="X",30*0.1,"")</f>
        <v/>
      </c>
      <c r="J31" s="16" t="str">
        <f t="shared" ref="J31:J32" si="26">IF($C31=NL,"X","")</f>
        <v/>
      </c>
      <c r="K31" s="16" t="str">
        <f t="shared" ref="K31:K32" si="27">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3"/>
        <v>X</v>
      </c>
      <c r="E32" s="16">
        <f>IF(D32="X",100*0.1,"")</f>
        <v>10</v>
      </c>
      <c r="F32" s="16" t="str">
        <f t="shared" si="24"/>
        <v/>
      </c>
      <c r="G32" s="16" t="str">
        <f>IF(F32="X",60*0.1,"")</f>
        <v/>
      </c>
      <c r="H32" s="16" t="str">
        <f t="shared" si="25"/>
        <v/>
      </c>
      <c r="I32" s="16" t="str">
        <f>IF(H32="X",30*0.1,"")</f>
        <v/>
      </c>
      <c r="J32" s="16" t="str">
        <f t="shared" si="26"/>
        <v/>
      </c>
      <c r="K32" s="16" t="str">
        <f t="shared" si="27"/>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28">SUM(G31:G33)</f>
        <v>0</v>
      </c>
      <c r="H34" s="19"/>
      <c r="I34" s="19">
        <f t="shared" si="28"/>
        <v>0</v>
      </c>
      <c r="J34" s="19"/>
      <c r="K34" s="19">
        <f t="shared" si="28"/>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Felipe Gaete Troncoso</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29">IF($C43=CL,"X","")</f>
        <v>X</v>
      </c>
      <c r="E43" s="16">
        <f>IF(D43="X",100*0.1,"")</f>
        <v>10</v>
      </c>
      <c r="F43" s="16" t="str">
        <f t="shared" ref="F43:F44" si="30">IF($C43=L,"X","")</f>
        <v/>
      </c>
      <c r="G43" s="16" t="str">
        <f>IF(F43="X",60*0.1,"")</f>
        <v/>
      </c>
      <c r="H43" s="16" t="str">
        <f t="shared" ref="H43:H44" si="31">IF($C43=ML,"X","")</f>
        <v/>
      </c>
      <c r="I43" s="16" t="str">
        <f>IF(H43="X",30*0.1,"")</f>
        <v/>
      </c>
      <c r="J43" s="16" t="str">
        <f t="shared" ref="J43:J44" si="32">IF($C43=NL,"X","")</f>
        <v/>
      </c>
      <c r="K43" s="16" t="str">
        <f t="shared" ref="K43:K44" si="33">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29"/>
        <v>X</v>
      </c>
      <c r="E44" s="16">
        <f>IF(D44="X",100*0.1,"")</f>
        <v>10</v>
      </c>
      <c r="F44" s="16" t="str">
        <f t="shared" si="30"/>
        <v/>
      </c>
      <c r="G44" s="16" t="str">
        <f>IF(F44="X",60*0.1,"")</f>
        <v/>
      </c>
      <c r="H44" s="16" t="str">
        <f t="shared" si="31"/>
        <v/>
      </c>
      <c r="I44" s="16" t="str">
        <f>IF(H44="X",30*0.1,"")</f>
        <v/>
      </c>
      <c r="J44" s="16" t="str">
        <f t="shared" si="32"/>
        <v/>
      </c>
      <c r="K44" s="16" t="str">
        <f t="shared" si="33"/>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4">SUM(G43:G45)</f>
        <v>0</v>
      </c>
      <c r="H46" s="19"/>
      <c r="I46" s="19">
        <f t="shared" ref="I46" si="35">SUM(I43:I45)</f>
        <v>0</v>
      </c>
      <c r="J46" s="19"/>
      <c r="K46" s="19">
        <f t="shared" ref="K46" si="36">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Ariel Olivares Vargas</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7">IF($C54=CL,"X","")</f>
        <v>X</v>
      </c>
      <c r="E54" s="16">
        <f>IF(D54="X",100*0.1,"")</f>
        <v>10</v>
      </c>
      <c r="F54" s="16" t="str">
        <f t="shared" ref="F54:F55" si="38">IF($C54=L,"X","")</f>
        <v/>
      </c>
      <c r="G54" s="16" t="str">
        <f>IF(F54="X",60*0.1,"")</f>
        <v/>
      </c>
      <c r="H54" s="16" t="str">
        <f t="shared" ref="H54:H55" si="39">IF($C54=ML,"X","")</f>
        <v/>
      </c>
      <c r="I54" s="16" t="str">
        <f>IF(H54="X",30*0.1,"")</f>
        <v/>
      </c>
      <c r="J54" s="16" t="str">
        <f t="shared" ref="J54:J55" si="40">IF($C54=NL,"X","")</f>
        <v/>
      </c>
      <c r="K54" s="16" t="str">
        <f t="shared" ref="K54:K55" si="41">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7"/>
        <v>X</v>
      </c>
      <c r="E55" s="16">
        <f>IF(D55="X",100*0.1,"")</f>
        <v>10</v>
      </c>
      <c r="F55" s="16" t="str">
        <f t="shared" si="38"/>
        <v/>
      </c>
      <c r="G55" s="16" t="str">
        <f>IF(F55="X",60*0.1,"")</f>
        <v/>
      </c>
      <c r="H55" s="16" t="str">
        <f t="shared" si="39"/>
        <v/>
      </c>
      <c r="I55" s="16" t="str">
        <f>IF(H55="X",30*0.1,"")</f>
        <v/>
      </c>
      <c r="J55" s="16" t="str">
        <f t="shared" si="40"/>
        <v/>
      </c>
      <c r="K55" s="16" t="str">
        <f t="shared" si="41"/>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2">SUM(F54:F56)</f>
        <v>0</v>
      </c>
      <c r="G57" s="19">
        <f t="shared" ref="G57" si="43">SUM(G54:G56)</f>
        <v>0</v>
      </c>
      <c r="H57" s="19">
        <f t="shared" ref="H57" si="44">SUM(H54:H56)</f>
        <v>0</v>
      </c>
      <c r="I57" s="19">
        <f t="shared" ref="I57" si="45">SUM(I54:I56)</f>
        <v>0</v>
      </c>
      <c r="J57" s="19">
        <f t="shared" ref="J57" si="46">SUM(J54:J56)</f>
        <v>0</v>
      </c>
      <c r="K57" s="19">
        <f t="shared" ref="K57" si="47">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GOMEZ FLORES, JORGE</cp:lastModifiedBy>
  <cp:revision/>
  <dcterms:created xsi:type="dcterms:W3CDTF">2023-08-07T04:08:01Z</dcterms:created>
  <dcterms:modified xsi:type="dcterms:W3CDTF">2026-09-11T13:29:30Z</dcterms:modified>
  <cp:category/>
  <cp:contentStatus/>
</cp:coreProperties>
</file>